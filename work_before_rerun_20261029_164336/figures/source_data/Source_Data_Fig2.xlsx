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a_coverage" sheetId="2" state="visible" r:id="rId2"/>
    <sheet xmlns:r="http://schemas.openxmlformats.org/officeDocument/2006/relationships" name="Fig2b_already_known" sheetId="3" state="visible" r:id="rId3"/>
    <sheet xmlns:r="http://schemas.openxmlformats.org/officeDocument/2006/relationships" name="Fig2c_recorded_la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Fig. 2</t>
        </is>
      </c>
    </row>
    <row r="2">
      <c r="A2" s="2" t="inlineStr">
        <is>
          <t>Fig2a_coverage: capture-recapture coverage for records dated before 2017. Estimate = records in the source / Chapman total; the interval uses Chapman total +/- 1.96 standard errors, with the total never below the observed union. Chapman total, its standard error and the union are computed by the released code (ncr/analysis.py).</t>
        </is>
      </c>
    </row>
    <row r="3">
      <c r="A3" s="2" t="inlineStr">
        <is>
          <t>Fig2b_already_known: counts by source and the share already known at release, with a Wilson 95% interval (formulas).</t>
        </is>
      </c>
    </row>
    <row r="4">
      <c r="A4" s="2" t="inlineStr">
        <is>
          <t>Fig2c_recorded_later: share recorded within each complete horizon, with Wilson intervals simultaneous across the horizons of each release (Bonferroni; formulas).</t>
        </is>
      </c>
    </row>
    <row r="5">
      <c r="A5" s="2" t="inlineStr">
        <is>
          <t>Counts are database-matched: dates are those of the earliest matching record in the analyzed sources. A literature audit found earlier experimental reports for two of the four OQMD v1.0 compositions recorded within ten years (Supplementary Note 6; marked in Source Data Fig. 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8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Release</t>
        </is>
      </c>
      <c r="B1" s="1" t="inlineStr">
        <is>
          <t>Source</t>
        </is>
      </c>
      <c r="C1" s="1" t="inlineStr">
        <is>
          <t>Records in source</t>
        </is>
      </c>
      <c r="D1" s="1" t="inlineStr">
        <is>
          <t>Chapman total</t>
        </is>
      </c>
      <c r="E1" s="1" t="inlineStr">
        <is>
          <t>Chapman SE</t>
        </is>
      </c>
      <c r="F1" s="1" t="inlineStr">
        <is>
          <t>Union of sources</t>
        </is>
      </c>
      <c r="G1" s="1" t="inlineStr">
        <is>
          <t>Coverage</t>
        </is>
      </c>
      <c r="H1" s="1" t="inlineStr">
        <is>
          <t>Lower bound</t>
        </is>
      </c>
      <c r="I1" s="1" t="inlineStr">
        <is>
          <t>Upper bound</t>
        </is>
      </c>
    </row>
    <row r="2">
      <c r="A2" s="2" t="inlineStr">
        <is>
          <t>Materials Project (2022)</t>
        </is>
      </c>
      <c r="B2" s="2" t="inlineStr">
        <is>
          <t>COD</t>
        </is>
      </c>
      <c r="C2" s="2" t="n">
        <v>1669</v>
      </c>
      <c r="D2" s="2" t="n">
        <v>3645.262975778547</v>
      </c>
      <c r="E2" s="2" t="n">
        <v>143.3461277788713</v>
      </c>
      <c r="F2" s="2" t="n">
        <v>2011</v>
      </c>
      <c r="G2" s="2">
        <f>C2/D2</f>
        <v/>
      </c>
      <c r="H2" s="2">
        <f>C2/(D2+1.96*E2)</f>
        <v/>
      </c>
      <c r="I2" s="2">
        <f>MIN(1,C2/MAX(D2-1.96*E2,F2))</f>
        <v/>
      </c>
    </row>
    <row r="3">
      <c r="A3" s="2" t="inlineStr">
        <is>
          <t>Materials Project (2022)</t>
        </is>
      </c>
      <c r="B3" s="2" t="inlineStr">
        <is>
          <t>ICSD-derived</t>
        </is>
      </c>
      <c r="C3" s="2" t="n">
        <v>630</v>
      </c>
      <c r="D3" s="2" t="n">
        <v>3645.262975778547</v>
      </c>
      <c r="E3" s="2" t="n">
        <v>143.3461277788713</v>
      </c>
      <c r="F3" s="2" t="n">
        <v>2011</v>
      </c>
      <c r="G3" s="2">
        <f>C3/D3</f>
        <v/>
      </c>
      <c r="H3" s="2">
        <f>C3/(D3+1.96*E3)</f>
        <v/>
      </c>
      <c r="I3" s="2">
        <f>MIN(1,C3/MAX(D3-1.96*E3,F3))</f>
        <v/>
      </c>
    </row>
    <row r="4">
      <c r="A4" s="2" t="inlineStr">
        <is>
          <t>Materials Project (2022)</t>
        </is>
      </c>
      <c r="B4" s="2" t="inlineStr">
        <is>
          <t>Either</t>
        </is>
      </c>
      <c r="C4" s="2" t="n">
        <v>2011</v>
      </c>
      <c r="D4" s="2" t="n">
        <v>3645.262975778547</v>
      </c>
      <c r="E4" s="2" t="n">
        <v>143.3461277788713</v>
      </c>
      <c r="F4" s="2" t="n">
        <v>2011</v>
      </c>
      <c r="G4" s="2">
        <f>C4/D4</f>
        <v/>
      </c>
      <c r="H4" s="2">
        <f>C4/(D4+1.96*E4)</f>
        <v/>
      </c>
      <c r="I4" s="2">
        <f>MIN(1,C4/MAX(D4-1.96*E4,F4))</f>
        <v/>
      </c>
    </row>
    <row r="5">
      <c r="A5" s="2" t="inlineStr">
        <is>
          <t>OQMD v1.0 (2014)</t>
        </is>
      </c>
      <c r="B5" s="2" t="inlineStr">
        <is>
          <t>COD</t>
        </is>
      </c>
      <c r="C5" s="2" t="n">
        <v>73</v>
      </c>
      <c r="D5" s="2" t="n">
        <v>197.6315789473684</v>
      </c>
      <c r="E5" s="2" t="n">
        <v>30.33113646626483</v>
      </c>
      <c r="F5" s="2" t="n">
        <v>105</v>
      </c>
      <c r="G5" s="2">
        <f>C5/D5</f>
        <v/>
      </c>
      <c r="H5" s="2">
        <f>C5/(D5+1.96*E5)</f>
        <v/>
      </c>
      <c r="I5" s="2">
        <f>MIN(1,C5/MAX(D5-1.96*E5,F5))</f>
        <v/>
      </c>
    </row>
    <row r="6">
      <c r="A6" s="2" t="inlineStr">
        <is>
          <t>OQMD v1.0 (2014)</t>
        </is>
      </c>
      <c r="B6" s="2" t="inlineStr">
        <is>
          <t>ICSD-derived</t>
        </is>
      </c>
      <c r="C6" s="2" t="n">
        <v>50</v>
      </c>
      <c r="D6" s="2" t="n">
        <v>197.6315789473684</v>
      </c>
      <c r="E6" s="2" t="n">
        <v>30.33113646626483</v>
      </c>
      <c r="F6" s="2" t="n">
        <v>105</v>
      </c>
      <c r="G6" s="2">
        <f>C6/D6</f>
        <v/>
      </c>
      <c r="H6" s="2">
        <f>C6/(D6+1.96*E6)</f>
        <v/>
      </c>
      <c r="I6" s="2">
        <f>MIN(1,C6/MAX(D6-1.96*E6,F6))</f>
        <v/>
      </c>
    </row>
    <row r="7">
      <c r="A7" s="2" t="inlineStr">
        <is>
          <t>OQMD v1.0 (2014)</t>
        </is>
      </c>
      <c r="B7" s="2" t="inlineStr">
        <is>
          <t>Either</t>
        </is>
      </c>
      <c r="C7" s="2" t="n">
        <v>105</v>
      </c>
      <c r="D7" s="2" t="n">
        <v>197.6315789473684</v>
      </c>
      <c r="E7" s="2" t="n">
        <v>30.33113646626483</v>
      </c>
      <c r="F7" s="2" t="n">
        <v>105</v>
      </c>
      <c r="G7" s="2">
        <f>C7/D7</f>
        <v/>
      </c>
      <c r="H7" s="2">
        <f>C7/(D7+1.96*E7)</f>
        <v/>
      </c>
      <c r="I7" s="2">
        <f>MIN(1,C7/MAX(D7-1.96*E7,F7))</f>
        <v/>
      </c>
    </row>
    <row r="8">
      <c r="A8" s="2" t="inlineStr">
        <is>
          <t>OQMD v1.1 (2016)</t>
        </is>
      </c>
      <c r="B8" s="2" t="inlineStr">
        <is>
          <t>COD</t>
        </is>
      </c>
      <c r="C8" s="2" t="n">
        <v>23</v>
      </c>
      <c r="D8" s="2" t="n">
        <v>143</v>
      </c>
      <c r="E8" s="2" t="n">
        <v>53.66563145999496</v>
      </c>
      <c r="F8" s="2" t="n">
        <v>43</v>
      </c>
      <c r="G8" s="2">
        <f>C8/D8</f>
        <v/>
      </c>
      <c r="H8" s="2">
        <f>C8/(D8+1.96*E8)</f>
        <v/>
      </c>
      <c r="I8" s="2">
        <f>MIN(1,C8/MAX(D8-1.96*E8,F8))</f>
        <v/>
      </c>
    </row>
    <row r="9">
      <c r="A9" s="2" t="inlineStr">
        <is>
          <t>OQMD v1.1 (2016)</t>
        </is>
      </c>
      <c r="B9" s="2" t="inlineStr">
        <is>
          <t>ICSD-derived</t>
        </is>
      </c>
      <c r="C9" s="2" t="n">
        <v>23</v>
      </c>
      <c r="D9" s="2" t="n">
        <v>143</v>
      </c>
      <c r="E9" s="2" t="n">
        <v>53.66563145999496</v>
      </c>
      <c r="F9" s="2" t="n">
        <v>43</v>
      </c>
      <c r="G9" s="2">
        <f>C9/D9</f>
        <v/>
      </c>
      <c r="H9" s="2">
        <f>C9/(D9+1.96*E9)</f>
        <v/>
      </c>
      <c r="I9" s="2">
        <f>MIN(1,C9/MAX(D9-1.96*E9,F9))</f>
        <v/>
      </c>
    </row>
    <row r="10">
      <c r="A10" s="2" t="inlineStr">
        <is>
          <t>OQMD v1.1 (2016)</t>
        </is>
      </c>
      <c r="B10" s="2" t="inlineStr">
        <is>
          <t>Either</t>
        </is>
      </c>
      <c r="C10" s="2" t="n">
        <v>43</v>
      </c>
      <c r="D10" s="2" t="n">
        <v>143</v>
      </c>
      <c r="E10" s="2" t="n">
        <v>53.66563145999496</v>
      </c>
      <c r="F10" s="2" t="n">
        <v>43</v>
      </c>
      <c r="G10" s="2">
        <f>C10/D10</f>
        <v/>
      </c>
      <c r="H10" s="2">
        <f>C10/(D10+1.96*E10)</f>
        <v/>
      </c>
      <c r="I10" s="2">
        <f>MIN(1,C10/MAX(D10-1.96*E10,F10))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9" customWidth="1" min="6" max="6"/>
    <col width="21" customWidth="1" min="7" max="7"/>
    <col width="18" customWidth="1" min="8" max="8"/>
    <col width="18" customWidth="1" min="9" max="9"/>
  </cols>
  <sheetData>
    <row r="1">
      <c r="A1" s="1" t="inlineStr">
        <is>
          <t>Release</t>
        </is>
      </c>
      <c r="B1" s="1" t="inlineStr">
        <is>
          <t>Predictions</t>
        </is>
      </c>
      <c r="C1" s="1" t="inlineStr">
        <is>
          <t>Already known</t>
        </is>
      </c>
      <c r="D1" s="1" t="inlineStr">
        <is>
          <t>COD only</t>
        </is>
      </c>
      <c r="E1" s="1" t="inlineStr">
        <is>
          <t>Both</t>
        </is>
      </c>
      <c r="F1" s="1" t="inlineStr">
        <is>
          <t>ICSD-derived only</t>
        </is>
      </c>
      <c r="G1" s="1" t="inlineStr">
        <is>
          <t>Share already known</t>
        </is>
      </c>
      <c r="H1" s="1" t="inlineStr">
        <is>
          <t>Wilson 95% lower</t>
        </is>
      </c>
      <c r="I1" s="1" t="inlineStr">
        <is>
          <t>Wilson 95% upper</t>
        </is>
      </c>
    </row>
    <row r="2">
      <c r="A2" s="2" t="inlineStr">
        <is>
          <t>Materials Project (2022)</t>
        </is>
      </c>
      <c r="B2" s="2" t="n">
        <v>10966</v>
      </c>
      <c r="C2" s="2" t="n">
        <v>2057</v>
      </c>
      <c r="D2" s="2" t="n">
        <v>1427</v>
      </c>
      <c r="E2" s="2" t="n">
        <v>293</v>
      </c>
      <c r="F2" s="2" t="n">
        <v>337</v>
      </c>
      <c r="G2" s="2">
        <f>C2/B2</f>
        <v/>
      </c>
      <c r="H2" s="2">
        <f>MAX(0,(C2/B2+NORMSINV(0.975)^2/(2*B2))/(1+NORMSINV(0.975)^2/B2)-NORMSINV(0.975)*SQRT(C2/B2*(1-C2/B2)/B2+NORMSINV(0.975)^2/(4*B2^2))/(1+NORMSINV(0.975)^2/B2))</f>
        <v/>
      </c>
      <c r="I2" s="2">
        <f>MIN(1,(C2/B2+NORMSINV(0.975)^2/(2*B2))/(1+NORMSINV(0.975)^2/B2)+NORMSINV(0.975)*SQRT(C2/B2*(1-C2/B2)/B2+NORMSINV(0.975)^2/(4*B2^2))/(1+NORMSINV(0.975)^2/B2))</f>
        <v/>
      </c>
    </row>
    <row r="3">
      <c r="A3" s="2" t="inlineStr">
        <is>
          <t>OQMD v1.1 (2016)</t>
        </is>
      </c>
      <c r="B3" s="2" t="n">
        <v>692</v>
      </c>
      <c r="C3" s="2" t="n">
        <v>43</v>
      </c>
      <c r="D3" s="2" t="n">
        <v>20</v>
      </c>
      <c r="E3" s="2" t="n">
        <v>3</v>
      </c>
      <c r="F3" s="2" t="n">
        <v>20</v>
      </c>
      <c r="G3" s="2">
        <f>C3/B3</f>
        <v/>
      </c>
      <c r="H3" s="2">
        <f>MAX(0,(C3/B3+NORMSINV(0.975)^2/(2*B3))/(1+NORMSINV(0.975)^2/B3)-NORMSINV(0.975)*SQRT(C3/B3*(1-C3/B3)/B3+NORMSINV(0.975)^2/(4*B3^2))/(1+NORMSINV(0.975)^2/B3))</f>
        <v/>
      </c>
      <c r="I3" s="2">
        <f>MIN(1,(C3/B3+NORMSINV(0.975)^2/(2*B3))/(1+NORMSINV(0.975)^2/B3)+NORMSINV(0.975)*SQRT(C3/B3*(1-C3/B3)/B3+NORMSINV(0.975)^2/(4*B3^2))/(1+NORMSINV(0.975)^2/B3))</f>
        <v/>
      </c>
    </row>
    <row r="4">
      <c r="A4" s="2" t="inlineStr">
        <is>
          <t>OQMD v1.0 (2014)</t>
        </is>
      </c>
      <c r="B4" s="2" t="n">
        <v>2860</v>
      </c>
      <c r="C4" s="2" t="n">
        <v>103</v>
      </c>
      <c r="D4" s="2" t="n">
        <v>55</v>
      </c>
      <c r="E4" s="2" t="n">
        <v>17</v>
      </c>
      <c r="F4" s="2" t="n">
        <v>31</v>
      </c>
      <c r="G4" s="2">
        <f>C4/B4</f>
        <v/>
      </c>
      <c r="H4" s="2">
        <f>MAX(0,(C4/B4+NORMSINV(0.975)^2/(2*B4))/(1+NORMSINV(0.975)^2/B4)-NORMSINV(0.975)*SQRT(C4/B4*(1-C4/B4)/B4+NORMSINV(0.975)^2/(4*B4^2))/(1+NORMSINV(0.975)^2/B4))</f>
        <v/>
      </c>
      <c r="I4" s="2">
        <f>MIN(1,(C4/B4+NORMSINV(0.975)^2/(2*B4))/(1+NORMSINV(0.975)^2/B4)+NORMSINV(0.975)*SQRT(C4/B4*(1-C4/B4)/B4+NORMSINV(0.975)^2/(4*B4^2))/(1+NORMSINV(0.975)^2/B4))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39" customWidth="1" min="5" max="5"/>
    <col width="22" customWidth="1" min="6" max="6"/>
    <col width="24" customWidth="1" min="7" max="7"/>
    <col width="24" customWidth="1" min="8" max="8"/>
  </cols>
  <sheetData>
    <row r="1">
      <c r="A1" s="1" t="inlineStr">
        <is>
          <t>Release</t>
        </is>
      </c>
      <c r="B1" s="1" t="inlineStr">
        <is>
          <t>Horizon (years)</t>
        </is>
      </c>
      <c r="C1" s="1" t="inlineStr">
        <is>
          <t>Recorded later</t>
        </is>
      </c>
      <c r="D1" s="1" t="inlineStr">
        <is>
          <t>Predictions</t>
        </is>
      </c>
      <c r="E1" s="1" t="inlineStr">
        <is>
          <t>Horizons of this release (Bonferroni)</t>
        </is>
      </c>
      <c r="F1" s="1" t="inlineStr">
        <is>
          <t>Share recorded later</t>
        </is>
      </c>
      <c r="G1" s="1" t="inlineStr">
        <is>
          <t>Simultaneous 95% lower</t>
        </is>
      </c>
      <c r="H1" s="1" t="inlineStr">
        <is>
          <t>Simultaneous 95% upper</t>
        </is>
      </c>
    </row>
    <row r="2">
      <c r="A2" s="2" t="inlineStr">
        <is>
          <t>Materials Project (2022)</t>
        </is>
      </c>
      <c r="B2" s="2" t="n">
        <v>2</v>
      </c>
      <c r="C2" s="2" t="n">
        <v>11</v>
      </c>
      <c r="D2" s="2" t="n">
        <v>10966</v>
      </c>
      <c r="E2" s="2" t="n">
        <v>1</v>
      </c>
      <c r="F2" s="2">
        <f>C2/D2</f>
        <v/>
      </c>
      <c r="G2" s="2">
        <f>MAX(0,(C2/D2+NORMSINV(1-0.05/(2*E2))^2/(2*D2))/(1+NORMSINV(1-0.05/(2*E2))^2/D2)-NORMSINV(1-0.05/(2*E2))*SQRT(C2/D2*(1-C2/D2)/D2+NORMSINV(1-0.05/(2*E2))^2/(4*D2^2))/(1+NORMSINV(1-0.05/(2*E2))^2/D2))</f>
        <v/>
      </c>
      <c r="H2" s="2">
        <f>MIN(1,(C2/D2+NORMSINV(1-0.05/(2*E2))^2/(2*D2))/(1+NORMSINV(1-0.05/(2*E2))^2/D2)+NORMSINV(1-0.05/(2*E2))*SQRT(C2/D2*(1-C2/D2)/D2+NORMSINV(1-0.05/(2*E2))^2/(4*D2^2))/(1+NORMSINV(1-0.05/(2*E2))^2/D2))</f>
        <v/>
      </c>
    </row>
    <row r="3">
      <c r="A3" s="2" t="inlineStr">
        <is>
          <t>OQMD v1.0 (2014)</t>
        </is>
      </c>
      <c r="B3" s="2" t="n">
        <v>3</v>
      </c>
      <c r="C3" s="2" t="n">
        <v>2</v>
      </c>
      <c r="D3" s="2" t="n">
        <v>2860</v>
      </c>
      <c r="E3" s="2" t="n">
        <v>3</v>
      </c>
      <c r="F3" s="2">
        <f>C3/D3</f>
        <v/>
      </c>
      <c r="G3" s="2">
        <f>MAX(0,(C3/D3+NORMSINV(1-0.05/(2*E3))^2/(2*D3))/(1+NORMSINV(1-0.05/(2*E3))^2/D3)-NORMSINV(1-0.05/(2*E3))*SQRT(C3/D3*(1-C3/D3)/D3+NORMSINV(1-0.05/(2*E3))^2/(4*D3^2))/(1+NORMSINV(1-0.05/(2*E3))^2/D3))</f>
        <v/>
      </c>
      <c r="H3" s="2">
        <f>MIN(1,(C3/D3+NORMSINV(1-0.05/(2*E3))^2/(2*D3))/(1+NORMSINV(1-0.05/(2*E3))^2/D3)+NORMSINV(1-0.05/(2*E3))*SQRT(C3/D3*(1-C3/D3)/D3+NORMSINV(1-0.05/(2*E3))^2/(4*D3^2))/(1+NORMSINV(1-0.05/(2*E3))^2/D3))</f>
        <v/>
      </c>
    </row>
    <row r="4">
      <c r="A4" s="2" t="inlineStr">
        <is>
          <t>OQMD v1.0 (2014)</t>
        </is>
      </c>
      <c r="B4" s="2" t="n">
        <v>5</v>
      </c>
      <c r="C4" s="2" t="n">
        <v>3</v>
      </c>
      <c r="D4" s="2" t="n">
        <v>2860</v>
      </c>
      <c r="E4" s="2" t="n">
        <v>3</v>
      </c>
      <c r="F4" s="2">
        <f>C4/D4</f>
        <v/>
      </c>
      <c r="G4" s="2">
        <f>MAX(0,(C4/D4+NORMSINV(1-0.05/(2*E4))^2/(2*D4))/(1+NORMSINV(1-0.05/(2*E4))^2/D4)-NORMSINV(1-0.05/(2*E4))*SQRT(C4/D4*(1-C4/D4)/D4+NORMSINV(1-0.05/(2*E4))^2/(4*D4^2))/(1+NORMSINV(1-0.05/(2*E4))^2/D4))</f>
        <v/>
      </c>
      <c r="H4" s="2">
        <f>MIN(1,(C4/D4+NORMSINV(1-0.05/(2*E4))^2/(2*D4))/(1+NORMSINV(1-0.05/(2*E4))^2/D4)+NORMSINV(1-0.05/(2*E4))*SQRT(C4/D4*(1-C4/D4)/D4+NORMSINV(1-0.05/(2*E4))^2/(4*D4^2))/(1+NORMSINV(1-0.05/(2*E4))^2/D4))</f>
        <v/>
      </c>
    </row>
    <row r="5">
      <c r="A5" s="2" t="inlineStr">
        <is>
          <t>OQMD v1.0 (2014)</t>
        </is>
      </c>
      <c r="B5" s="2" t="n">
        <v>10</v>
      </c>
      <c r="C5" s="2" t="n">
        <v>4</v>
      </c>
      <c r="D5" s="2" t="n">
        <v>2860</v>
      </c>
      <c r="E5" s="2" t="n">
        <v>3</v>
      </c>
      <c r="F5" s="2">
        <f>C5/D5</f>
        <v/>
      </c>
      <c r="G5" s="2">
        <f>MAX(0,(C5/D5+NORMSINV(1-0.05/(2*E5))^2/(2*D5))/(1+NORMSINV(1-0.05/(2*E5))^2/D5)-NORMSINV(1-0.05/(2*E5))*SQRT(C5/D5*(1-C5/D5)/D5+NORMSINV(1-0.05/(2*E5))^2/(4*D5^2))/(1+NORMSINV(1-0.05/(2*E5))^2/D5))</f>
        <v/>
      </c>
      <c r="H5" s="2">
        <f>MIN(1,(C5/D5+NORMSINV(1-0.05/(2*E5))^2/(2*D5))/(1+NORMSINV(1-0.05/(2*E5))^2/D5)+NORMSINV(1-0.05/(2*E5))*SQRT(C5/D5*(1-C5/D5)/D5+NORMSINV(1-0.05/(2*E5))^2/(4*D5^2))/(1+NORMSINV(1-0.05/(2*E5))^2/D5))</f>
        <v/>
      </c>
    </row>
    <row r="6">
      <c r="A6" s="2" t="inlineStr">
        <is>
          <t>OQMD v1.1 (2016)</t>
        </is>
      </c>
      <c r="B6" s="2" t="n">
        <v>3</v>
      </c>
      <c r="C6" s="2" t="n">
        <v>0</v>
      </c>
      <c r="D6" s="2" t="n">
        <v>692</v>
      </c>
      <c r="E6" s="2" t="n">
        <v>2</v>
      </c>
      <c r="F6" s="2">
        <f>C6/D6</f>
        <v/>
      </c>
      <c r="G6" s="2">
        <f>MAX(0,(C6/D6+NORMSINV(1-0.05/(2*E6))^2/(2*D6))/(1+NORMSINV(1-0.05/(2*E6))^2/D6)-NORMSINV(1-0.05/(2*E6))*SQRT(C6/D6*(1-C6/D6)/D6+NORMSINV(1-0.05/(2*E6))^2/(4*D6^2))/(1+NORMSINV(1-0.05/(2*E6))^2/D6))</f>
        <v/>
      </c>
      <c r="H6" s="2">
        <f>MIN(1,(C6/D6+NORMSINV(1-0.05/(2*E6))^2/(2*D6))/(1+NORMSINV(1-0.05/(2*E6))^2/D6)+NORMSINV(1-0.05/(2*E6))*SQRT(C6/D6*(1-C6/D6)/D6+NORMSINV(1-0.05/(2*E6))^2/(4*D6^2))/(1+NORMSINV(1-0.05/(2*E6))^2/D6))</f>
        <v/>
      </c>
    </row>
    <row r="7">
      <c r="A7" s="2" t="inlineStr">
        <is>
          <t>OQMD v1.1 (2016)</t>
        </is>
      </c>
      <c r="B7" s="2" t="n">
        <v>5</v>
      </c>
      <c r="C7" s="2" t="n">
        <v>0</v>
      </c>
      <c r="D7" s="2" t="n">
        <v>692</v>
      </c>
      <c r="E7" s="2" t="n">
        <v>2</v>
      </c>
      <c r="F7" s="2">
        <f>C7/D7</f>
        <v/>
      </c>
      <c r="G7" s="2">
        <f>MAX(0,(C7/D7+NORMSINV(1-0.05/(2*E7))^2/(2*D7))/(1+NORMSINV(1-0.05/(2*E7))^2/D7)-NORMSINV(1-0.05/(2*E7))*SQRT(C7/D7*(1-C7/D7)/D7+NORMSINV(1-0.05/(2*E7))^2/(4*D7^2))/(1+NORMSINV(1-0.05/(2*E7))^2/D7))</f>
        <v/>
      </c>
      <c r="H7" s="2">
        <f>MIN(1,(C7/D7+NORMSINV(1-0.05/(2*E7))^2/(2*D7))/(1+NORMSINV(1-0.05/(2*E7))^2/D7)+NORMSINV(1-0.05/(2*E7))*SQRT(C7/D7*(1-C7/D7)/D7+NORMSINV(1-0.05/(2*E7))^2/(4*D7^2))/(1+NORMSINV(1-0.05/(2*E7))^2/D7))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2026-10-29T13:31:13Z</dcterms:created>
  <dcterms:modified xmlns:dcterms="http://purl.org/dc/terms/" xmlns:xsi="http://www.w3.org/2001/XMLSchema-instance" xsi:type="dcterms:W3CDTF">2026-10-29T13:31:13Z</dcterms:modified>
</cp:coreProperties>
</file>