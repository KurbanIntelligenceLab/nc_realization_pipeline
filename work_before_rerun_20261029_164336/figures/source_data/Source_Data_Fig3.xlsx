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3b_premise" sheetId="2" state="visible" r:id="rId2"/>
    <sheet xmlns:r="http://schemas.openxmlformats.org/officeDocument/2006/relationships" name="Fig3c_threshold" sheetId="3" state="visible" r:id="rId3"/>
    <sheet xmlns:r="http://schemas.openxmlformats.org/officeDocument/2006/relationships" name="Fig3d_label_effect" sheetId="4" state="visible" r:id="rId4"/>
    <sheet xmlns:r="http://schemas.openxmlformats.org/officeDocument/2006/relationships" name="Literature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 Data for Fig. 3</t>
        </is>
      </c>
    </row>
    <row r="2">
      <c r="A2" s="2" t="inlineStr">
        <is>
          <t>Panel a is a schematic and has no source data.</t>
        </is>
      </c>
    </row>
    <row r="3">
      <c r="A3" s="2" t="inlineStr">
        <is>
          <t>Fig3b_premise: compositions in both OQMD and the Materials Project and the number whose stable labels disagree, by distance from the OQMD threshold; share and Wilson 95% interval are formulas.</t>
        </is>
      </c>
    </row>
    <row r="4">
      <c r="A4" s="2" t="inlineStr">
        <is>
          <t>Fig3c_threshold: entries and structures recorded within five years in each 5 meV/atom bin of the decomposition energy relative to the threshold.</t>
        </is>
      </c>
    </row>
    <row r="5">
      <c r="A5" s="2" t="inlineStr">
        <is>
          <t>Fig3d_label_effect: blocked differences and their normal-approximation 95% intervals, computed by the released code (ncr/analysis.py); unreliable with this few events. The last row is the smallest effect detectable with 80% power in an approximate normal-theory calculation; it describes the design, not the effects the data exclude.</t>
        </is>
      </c>
    </row>
    <row r="6">
      <c r="A6" s="2" t="inlineStr">
        <is>
          <t>Events are database-matched. Sheet Literature_audit gives the literature check of the four threshold events (three labeled stable, one unstable) and what each source establishes; a sensitivity analysis that counts any earlier experimental report is computed by scripts/literature_sensitivity.py.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4" customWidth="1" min="4" max="4"/>
    <col width="17" customWidth="1" min="5" max="5"/>
    <col width="19" customWidth="1" min="6" max="6"/>
    <col width="18" customWidth="1" min="7" max="7"/>
    <col width="18" customWidth="1" min="8" max="8"/>
  </cols>
  <sheetData>
    <row r="1">
      <c r="A1" s="1" t="inlineStr">
        <is>
          <t>Pair</t>
        </is>
      </c>
      <c r="B1" s="1" t="inlineStr">
        <is>
          <t>Distance from threshold, from (meV/atom)</t>
        </is>
      </c>
      <c r="C1" s="1" t="inlineStr">
        <is>
          <t>to (meV/atom)</t>
        </is>
      </c>
      <c r="D1" s="1" t="inlineStr">
        <is>
          <t>Compositions</t>
        </is>
      </c>
      <c r="E1" s="1" t="inlineStr">
        <is>
          <t>Labels disagree</t>
        </is>
      </c>
      <c r="F1" s="1" t="inlineStr">
        <is>
          <t>Share disagreeing</t>
        </is>
      </c>
      <c r="G1" s="1" t="inlineStr">
        <is>
          <t>Wilson 95% lower</t>
        </is>
      </c>
      <c r="H1" s="1" t="inlineStr">
        <is>
          <t>Wilson 95% upper</t>
        </is>
      </c>
    </row>
    <row r="2">
      <c r="A2" s="2" t="inlineStr">
        <is>
          <t>OQMD v1.0 vs Materials Project</t>
        </is>
      </c>
      <c r="B2" s="2" t="n">
        <v>0</v>
      </c>
      <c r="C2" s="2" t="n">
        <v>10</v>
      </c>
      <c r="D2" s="2" t="n">
        <v>5284</v>
      </c>
      <c r="E2" s="2" t="n">
        <v>1887</v>
      </c>
      <c r="F2" s="2">
        <f>E2/D2</f>
        <v/>
      </c>
      <c r="G2" s="2">
        <f>MAX(0,(E2/D2+NORMSINV(0.975)^2/(2*D2))/(1+NORMSINV(0.975)^2/D2)-NORMSINV(0.975)*SQRT(E2/D2*(1-E2/D2)/D2+NORMSINV(0.975)^2/(4*D2^2))/(1+NORMSINV(0.975)^2/D2))</f>
        <v/>
      </c>
      <c r="H2" s="2">
        <f>MIN(1,(E2/D2+NORMSINV(0.975)^2/(2*D2))/(1+NORMSINV(0.975)^2/D2)+NORMSINV(0.975)*SQRT(E2/D2*(1-E2/D2)/D2+NORMSINV(0.975)^2/(4*D2^2))/(1+NORMSINV(0.975)^2/D2))</f>
        <v/>
      </c>
    </row>
    <row r="3">
      <c r="A3" s="2" t="inlineStr">
        <is>
          <t>OQMD v1.0 vs Materials Project</t>
        </is>
      </c>
      <c r="B3" s="2" t="n">
        <v>10</v>
      </c>
      <c r="C3" s="2" t="n">
        <v>25</v>
      </c>
      <c r="D3" s="2" t="n">
        <v>6255</v>
      </c>
      <c r="E3" s="2" t="n">
        <v>1220</v>
      </c>
      <c r="F3" s="2">
        <f>E3/D3</f>
        <v/>
      </c>
      <c r="G3" s="2">
        <f>MAX(0,(E3/D3+NORMSINV(0.975)^2/(2*D3))/(1+NORMSINV(0.975)^2/D3)-NORMSINV(0.975)*SQRT(E3/D3*(1-E3/D3)/D3+NORMSINV(0.975)^2/(4*D3^2))/(1+NORMSINV(0.975)^2/D3))</f>
        <v/>
      </c>
      <c r="H3" s="2">
        <f>MIN(1,(E3/D3+NORMSINV(0.975)^2/(2*D3))/(1+NORMSINV(0.975)^2/D3)+NORMSINV(0.975)*SQRT(E3/D3*(1-E3/D3)/D3+NORMSINV(0.975)^2/(4*D3^2))/(1+NORMSINV(0.975)^2/D3))</f>
        <v/>
      </c>
    </row>
    <row r="4">
      <c r="A4" s="2" t="inlineStr">
        <is>
          <t>OQMD v1.0 vs Materials Project</t>
        </is>
      </c>
      <c r="B4" s="2" t="n">
        <v>25</v>
      </c>
      <c r="C4" s="2" t="n">
        <v>50</v>
      </c>
      <c r="D4" s="2" t="n">
        <v>6668</v>
      </c>
      <c r="E4" s="2" t="n">
        <v>754</v>
      </c>
      <c r="F4" s="2">
        <f>E4/D4</f>
        <v/>
      </c>
      <c r="G4" s="2">
        <f>MAX(0,(E4/D4+NORMSINV(0.975)^2/(2*D4))/(1+NORMSINV(0.975)^2/D4)-NORMSINV(0.975)*SQRT(E4/D4*(1-E4/D4)/D4+NORMSINV(0.975)^2/(4*D4^2))/(1+NORMSINV(0.975)^2/D4))</f>
        <v/>
      </c>
      <c r="H4" s="2">
        <f>MIN(1,(E4/D4+NORMSINV(0.975)^2/(2*D4))/(1+NORMSINV(0.975)^2/D4)+NORMSINV(0.975)*SQRT(E4/D4*(1-E4/D4)/D4+NORMSINV(0.975)^2/(4*D4^2))/(1+NORMSINV(0.975)^2/D4))</f>
        <v/>
      </c>
    </row>
    <row r="5">
      <c r="A5" s="2" t="inlineStr">
        <is>
          <t>OQMD v1.0 vs Materials Project</t>
        </is>
      </c>
      <c r="B5" s="2" t="n">
        <v>50</v>
      </c>
      <c r="C5" s="2" t="n">
        <v>100</v>
      </c>
      <c r="D5" s="2" t="n">
        <v>6764</v>
      </c>
      <c r="E5" s="2" t="n">
        <v>562</v>
      </c>
      <c r="F5" s="2">
        <f>E5/D5</f>
        <v/>
      </c>
      <c r="G5" s="2">
        <f>MAX(0,(E5/D5+NORMSINV(0.975)^2/(2*D5))/(1+NORMSINV(0.975)^2/D5)-NORMSINV(0.975)*SQRT(E5/D5*(1-E5/D5)/D5+NORMSINV(0.975)^2/(4*D5^2))/(1+NORMSINV(0.975)^2/D5))</f>
        <v/>
      </c>
      <c r="H5" s="2">
        <f>MIN(1,(E5/D5+NORMSINV(0.975)^2/(2*D5))/(1+NORMSINV(0.975)^2/D5)+NORMSINV(0.975)*SQRT(E5/D5*(1-E5/D5)/D5+NORMSINV(0.975)^2/(4*D5^2))/(1+NORMSINV(0.975)^2/D5))</f>
        <v/>
      </c>
    </row>
    <row r="6">
      <c r="A6" s="2" t="inlineStr">
        <is>
          <t>OQMD v1.0 vs Materials Project</t>
        </is>
      </c>
      <c r="B6" s="2" t="n">
        <v>100</v>
      </c>
      <c r="C6" s="2" t="n">
        <v>200</v>
      </c>
      <c r="D6" s="2" t="n">
        <v>4907</v>
      </c>
      <c r="E6" s="2" t="n">
        <v>367</v>
      </c>
      <c r="F6" s="2">
        <f>E6/D6</f>
        <v/>
      </c>
      <c r="G6" s="2">
        <f>MAX(0,(E6/D6+NORMSINV(0.975)^2/(2*D6))/(1+NORMSINV(0.975)^2/D6)-NORMSINV(0.975)*SQRT(E6/D6*(1-E6/D6)/D6+NORMSINV(0.975)^2/(4*D6^2))/(1+NORMSINV(0.975)^2/D6))</f>
        <v/>
      </c>
      <c r="H6" s="2">
        <f>MIN(1,(E6/D6+NORMSINV(0.975)^2/(2*D6))/(1+NORMSINV(0.975)^2/D6)+NORMSINV(0.975)*SQRT(E6/D6*(1-E6/D6)/D6+NORMSINV(0.975)^2/(4*D6^2))/(1+NORMSINV(0.975)^2/D6))</f>
        <v/>
      </c>
    </row>
    <row r="7">
      <c r="A7" s="2" t="inlineStr">
        <is>
          <t>OQMD v1.0 vs Materials Project</t>
        </is>
      </c>
      <c r="B7" s="2" t="n">
        <v>200</v>
      </c>
      <c r="C7" s="2" t="inlineStr">
        <is>
          <t>above</t>
        </is>
      </c>
      <c r="D7" s="2" t="n">
        <v>5537</v>
      </c>
      <c r="E7" s="2" t="n">
        <v>501</v>
      </c>
      <c r="F7" s="2">
        <f>E7/D7</f>
        <v/>
      </c>
      <c r="G7" s="2">
        <f>MAX(0,(E7/D7+NORMSINV(0.975)^2/(2*D7))/(1+NORMSINV(0.975)^2/D7)-NORMSINV(0.975)*SQRT(E7/D7*(1-E7/D7)/D7+NORMSINV(0.975)^2/(4*D7^2))/(1+NORMSINV(0.975)^2/D7))</f>
        <v/>
      </c>
      <c r="H7" s="2">
        <f>MIN(1,(E7/D7+NORMSINV(0.975)^2/(2*D7))/(1+NORMSINV(0.975)^2/D7)+NORMSINV(0.975)*SQRT(E7/D7*(1-E7/D7)/D7+NORMSINV(0.975)^2/(4*D7^2))/(1+NORMSINV(0.975)^2/D7))</f>
        <v/>
      </c>
    </row>
    <row r="8">
      <c r="A8" s="2" t="inlineStr">
        <is>
          <t>OQMD v1.1 vs Materials Project</t>
        </is>
      </c>
      <c r="B8" s="2" t="n">
        <v>0</v>
      </c>
      <c r="C8" s="2" t="n">
        <v>10</v>
      </c>
      <c r="D8" s="2" t="n">
        <v>6902</v>
      </c>
      <c r="E8" s="2" t="n">
        <v>2862</v>
      </c>
      <c r="F8" s="2">
        <f>E8/D8</f>
        <v/>
      </c>
      <c r="G8" s="2">
        <f>MAX(0,(E8/D8+NORMSINV(0.975)^2/(2*D8))/(1+NORMSINV(0.975)^2/D8)-NORMSINV(0.975)*SQRT(E8/D8*(1-E8/D8)/D8+NORMSINV(0.975)^2/(4*D8^2))/(1+NORMSINV(0.975)^2/D8))</f>
        <v/>
      </c>
      <c r="H8" s="2">
        <f>MIN(1,(E8/D8+NORMSINV(0.975)^2/(2*D8))/(1+NORMSINV(0.975)^2/D8)+NORMSINV(0.975)*SQRT(E8/D8*(1-E8/D8)/D8+NORMSINV(0.975)^2/(4*D8^2))/(1+NORMSINV(0.975)^2/D8))</f>
        <v/>
      </c>
    </row>
    <row r="9">
      <c r="A9" s="2" t="inlineStr">
        <is>
          <t>OQMD v1.1 vs Materials Project</t>
        </is>
      </c>
      <c r="B9" s="2" t="n">
        <v>10</v>
      </c>
      <c r="C9" s="2" t="n">
        <v>25</v>
      </c>
      <c r="D9" s="2" t="n">
        <v>6991</v>
      </c>
      <c r="E9" s="2" t="n">
        <v>1222</v>
      </c>
      <c r="F9" s="2">
        <f>E9/D9</f>
        <v/>
      </c>
      <c r="G9" s="2">
        <f>MAX(0,(E9/D9+NORMSINV(0.975)^2/(2*D9))/(1+NORMSINV(0.975)^2/D9)-NORMSINV(0.975)*SQRT(E9/D9*(1-E9/D9)/D9+NORMSINV(0.975)^2/(4*D9^2))/(1+NORMSINV(0.975)^2/D9))</f>
        <v/>
      </c>
      <c r="H9" s="2">
        <f>MIN(1,(E9/D9+NORMSINV(0.975)^2/(2*D9))/(1+NORMSINV(0.975)^2/D9)+NORMSINV(0.975)*SQRT(E9/D9*(1-E9/D9)/D9+NORMSINV(0.975)^2/(4*D9^2))/(1+NORMSINV(0.975)^2/D9))</f>
        <v/>
      </c>
    </row>
    <row r="10">
      <c r="A10" s="2" t="inlineStr">
        <is>
          <t>OQMD v1.1 vs Materials Project</t>
        </is>
      </c>
      <c r="B10" s="2" t="n">
        <v>25</v>
      </c>
      <c r="C10" s="2" t="n">
        <v>50</v>
      </c>
      <c r="D10" s="2" t="n">
        <v>7061</v>
      </c>
      <c r="E10" s="2" t="n">
        <v>787</v>
      </c>
      <c r="F10" s="2">
        <f>E10/D10</f>
        <v/>
      </c>
      <c r="G10" s="2">
        <f>MAX(0,(E10/D10+NORMSINV(0.975)^2/(2*D10))/(1+NORMSINV(0.975)^2/D10)-NORMSINV(0.975)*SQRT(E10/D10*(1-E10/D10)/D10+NORMSINV(0.975)^2/(4*D10^2))/(1+NORMSINV(0.975)^2/D10))</f>
        <v/>
      </c>
      <c r="H10" s="2">
        <f>MIN(1,(E10/D10+NORMSINV(0.975)^2/(2*D10))/(1+NORMSINV(0.975)^2/D10)+NORMSINV(0.975)*SQRT(E10/D10*(1-E10/D10)/D10+NORMSINV(0.975)^2/(4*D10^2))/(1+NORMSINV(0.975)^2/D10))</f>
        <v/>
      </c>
    </row>
    <row r="11">
      <c r="A11" s="2" t="inlineStr">
        <is>
          <t>OQMD v1.1 vs Materials Project</t>
        </is>
      </c>
      <c r="B11" s="2" t="n">
        <v>50</v>
      </c>
      <c r="C11" s="2" t="n">
        <v>100</v>
      </c>
      <c r="D11" s="2" t="n">
        <v>6978</v>
      </c>
      <c r="E11" s="2" t="n">
        <v>586</v>
      </c>
      <c r="F11" s="2">
        <f>E11/D11</f>
        <v/>
      </c>
      <c r="G11" s="2">
        <f>MAX(0,(E11/D11+NORMSINV(0.975)^2/(2*D11))/(1+NORMSINV(0.975)^2/D11)-NORMSINV(0.975)*SQRT(E11/D11*(1-E11/D11)/D11+NORMSINV(0.975)^2/(4*D11^2))/(1+NORMSINV(0.975)^2/D11))</f>
        <v/>
      </c>
      <c r="H11" s="2">
        <f>MIN(1,(E11/D11+NORMSINV(0.975)^2/(2*D11))/(1+NORMSINV(0.975)^2/D11)+NORMSINV(0.975)*SQRT(E11/D11*(1-E11/D11)/D11+NORMSINV(0.975)^2/(4*D11^2))/(1+NORMSINV(0.975)^2/D11))</f>
        <v/>
      </c>
    </row>
    <row r="12">
      <c r="A12" s="2" t="inlineStr">
        <is>
          <t>OQMD v1.1 vs Materials Project</t>
        </is>
      </c>
      <c r="B12" s="2" t="n">
        <v>100</v>
      </c>
      <c r="C12" s="2" t="n">
        <v>200</v>
      </c>
      <c r="D12" s="2" t="n">
        <v>4888</v>
      </c>
      <c r="E12" s="2" t="n">
        <v>406</v>
      </c>
      <c r="F12" s="2">
        <f>E12/D12</f>
        <v/>
      </c>
      <c r="G12" s="2">
        <f>MAX(0,(E12/D12+NORMSINV(0.975)^2/(2*D12))/(1+NORMSINV(0.975)^2/D12)-NORMSINV(0.975)*SQRT(E12/D12*(1-E12/D12)/D12+NORMSINV(0.975)^2/(4*D12^2))/(1+NORMSINV(0.975)^2/D12))</f>
        <v/>
      </c>
      <c r="H12" s="2">
        <f>MIN(1,(E12/D12+NORMSINV(0.975)^2/(2*D12))/(1+NORMSINV(0.975)^2/D12)+NORMSINV(0.975)*SQRT(E12/D12*(1-E12/D12)/D12+NORMSINV(0.975)^2/(4*D12^2))/(1+NORMSINV(0.975)^2/D12))</f>
        <v/>
      </c>
    </row>
    <row r="13">
      <c r="A13" s="2" t="inlineStr">
        <is>
          <t>OQMD v1.1 vs Materials Project</t>
        </is>
      </c>
      <c r="B13" s="2" t="n">
        <v>200</v>
      </c>
      <c r="C13" s="2" t="inlineStr">
        <is>
          <t>above</t>
        </is>
      </c>
      <c r="D13" s="2" t="n">
        <v>5588</v>
      </c>
      <c r="E13" s="2" t="n">
        <v>699</v>
      </c>
      <c r="F13" s="2">
        <f>E13/D13</f>
        <v/>
      </c>
      <c r="G13" s="2">
        <f>MAX(0,(E13/D13+NORMSINV(0.975)^2/(2*D13))/(1+NORMSINV(0.975)^2/D13)-NORMSINV(0.975)*SQRT(E13/D13*(1-E13/D13)/D13+NORMSINV(0.975)^2/(4*D13^2))/(1+NORMSINV(0.975)^2/D13))</f>
        <v/>
      </c>
      <c r="H13" s="2">
        <f>MIN(1,(E13/D13+NORMSINV(0.975)^2/(2*D13))/(1+NORMSINV(0.975)^2/D13)+NORMSINV(0.975)*SQRT(E13/D13*(1-E13/D13)/D13+NORMSINV(0.975)^2/(4*D13^2))/(1+NORMSINV(0.975)^2/D13))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39" customWidth="1" min="4" max="4"/>
  </cols>
  <sheetData>
    <row r="1">
      <c r="A1" s="1" t="inlineStr">
        <is>
          <t>Bin centre (meV/atom, relative to threshold)</t>
        </is>
      </c>
      <c r="B1" s="1" t="inlineStr">
        <is>
          <t>Side</t>
        </is>
      </c>
      <c r="C1" s="1" t="inlineStr">
        <is>
          <t>Entries</t>
        </is>
      </c>
      <c r="D1" s="1" t="inlineStr">
        <is>
          <t>Structures recorded within five years</t>
        </is>
      </c>
    </row>
    <row r="2">
      <c r="A2" s="2" t="n">
        <v>-47.5</v>
      </c>
      <c r="B2" s="2" t="inlineStr">
        <is>
          <t>Stable</t>
        </is>
      </c>
      <c r="C2" s="2" t="n">
        <v>116</v>
      </c>
      <c r="D2" s="2" t="n">
        <v>0</v>
      </c>
    </row>
    <row r="3">
      <c r="A3" s="2" t="n">
        <v>-42.5</v>
      </c>
      <c r="B3" s="2" t="inlineStr">
        <is>
          <t>Stable</t>
        </is>
      </c>
      <c r="C3" s="2" t="n">
        <v>136</v>
      </c>
      <c r="D3" s="2" t="n">
        <v>0</v>
      </c>
    </row>
    <row r="4">
      <c r="A4" s="2" t="n">
        <v>-37.5</v>
      </c>
      <c r="B4" s="2" t="inlineStr">
        <is>
          <t>Stable</t>
        </is>
      </c>
      <c r="C4" s="2" t="n">
        <v>144</v>
      </c>
      <c r="D4" s="2" t="n">
        <v>0</v>
      </c>
    </row>
    <row r="5">
      <c r="A5" s="2" t="n">
        <v>-32.5</v>
      </c>
      <c r="B5" s="2" t="inlineStr">
        <is>
          <t>Stable</t>
        </is>
      </c>
      <c r="C5" s="2" t="n">
        <v>158</v>
      </c>
      <c r="D5" s="2" t="n">
        <v>0</v>
      </c>
    </row>
    <row r="6">
      <c r="A6" s="2" t="n">
        <v>-27.5</v>
      </c>
      <c r="B6" s="2" t="inlineStr">
        <is>
          <t>Stable</t>
        </is>
      </c>
      <c r="C6" s="2" t="n">
        <v>172</v>
      </c>
      <c r="D6" s="2" t="n">
        <v>0</v>
      </c>
    </row>
    <row r="7">
      <c r="A7" s="2" t="n">
        <v>-22.5</v>
      </c>
      <c r="B7" s="2" t="inlineStr">
        <is>
          <t>Stable</t>
        </is>
      </c>
      <c r="C7" s="2" t="n">
        <v>214</v>
      </c>
      <c r="D7" s="2" t="n">
        <v>1</v>
      </c>
    </row>
    <row r="8">
      <c r="A8" s="2" t="n">
        <v>-17.5</v>
      </c>
      <c r="B8" s="2" t="inlineStr">
        <is>
          <t>Stable</t>
        </is>
      </c>
      <c r="C8" s="2" t="n">
        <v>241</v>
      </c>
      <c r="D8" s="2" t="n">
        <v>0</v>
      </c>
    </row>
    <row r="9">
      <c r="A9" s="2" t="n">
        <v>-12.5</v>
      </c>
      <c r="B9" s="2" t="inlineStr">
        <is>
          <t>Stable</t>
        </is>
      </c>
      <c r="C9" s="2" t="n">
        <v>266</v>
      </c>
      <c r="D9" s="2" t="n">
        <v>2</v>
      </c>
    </row>
    <row r="10">
      <c r="A10" s="2" t="n">
        <v>-7.5</v>
      </c>
      <c r="B10" s="2" t="inlineStr">
        <is>
          <t>Stable</t>
        </is>
      </c>
      <c r="C10" s="2" t="n">
        <v>322</v>
      </c>
      <c r="D10" s="2" t="n">
        <v>0</v>
      </c>
    </row>
    <row r="11">
      <c r="A11" s="2" t="n">
        <v>-2.5</v>
      </c>
      <c r="B11" s="2" t="inlineStr">
        <is>
          <t>Stable</t>
        </is>
      </c>
      <c r="C11" s="2" t="n">
        <v>375</v>
      </c>
      <c r="D11" s="2" t="n">
        <v>0</v>
      </c>
    </row>
    <row r="12">
      <c r="A12" s="2" t="n">
        <v>2.5</v>
      </c>
      <c r="B12" s="2" t="inlineStr">
        <is>
          <t>Unstable</t>
        </is>
      </c>
      <c r="C12" s="2" t="n">
        <v>710</v>
      </c>
      <c r="D12" s="2" t="n">
        <v>0</v>
      </c>
    </row>
    <row r="13">
      <c r="A13" s="2" t="n">
        <v>7.5</v>
      </c>
      <c r="B13" s="2" t="inlineStr">
        <is>
          <t>Unstable</t>
        </is>
      </c>
      <c r="C13" s="2" t="n">
        <v>769</v>
      </c>
      <c r="D13" s="2" t="n">
        <v>0</v>
      </c>
    </row>
    <row r="14">
      <c r="A14" s="2" t="n">
        <v>12.5</v>
      </c>
      <c r="B14" s="2" t="inlineStr">
        <is>
          <t>Unstable</t>
        </is>
      </c>
      <c r="C14" s="2" t="n">
        <v>813</v>
      </c>
      <c r="D14" s="2" t="n">
        <v>0</v>
      </c>
    </row>
    <row r="15">
      <c r="A15" s="2" t="n">
        <v>17.5</v>
      </c>
      <c r="B15" s="2" t="inlineStr">
        <is>
          <t>Unstable</t>
        </is>
      </c>
      <c r="C15" s="2" t="n">
        <v>734</v>
      </c>
      <c r="D15" s="2" t="n">
        <v>1</v>
      </c>
    </row>
    <row r="16">
      <c r="A16" s="2" t="n">
        <v>22.5</v>
      </c>
      <c r="B16" s="2" t="inlineStr">
        <is>
          <t>Unstable</t>
        </is>
      </c>
      <c r="C16" s="2" t="n">
        <v>757</v>
      </c>
      <c r="D16" s="2" t="n">
        <v>0</v>
      </c>
    </row>
    <row r="17">
      <c r="A17" s="2" t="n">
        <v>27.5</v>
      </c>
      <c r="B17" s="2" t="inlineStr">
        <is>
          <t>Unstable</t>
        </is>
      </c>
      <c r="C17" s="2" t="n">
        <v>708</v>
      </c>
      <c r="D17" s="2" t="n">
        <v>0</v>
      </c>
    </row>
    <row r="18">
      <c r="A18" s="2" t="n">
        <v>32.5</v>
      </c>
      <c r="B18" s="2" t="inlineStr">
        <is>
          <t>Unstable</t>
        </is>
      </c>
      <c r="C18" s="2" t="n">
        <v>780</v>
      </c>
      <c r="D18" s="2" t="n">
        <v>2</v>
      </c>
    </row>
    <row r="19">
      <c r="A19" s="2" t="n">
        <v>37.5</v>
      </c>
      <c r="B19" s="2" t="inlineStr">
        <is>
          <t>Unstable</t>
        </is>
      </c>
      <c r="C19" s="2" t="n">
        <v>762</v>
      </c>
      <c r="D19" s="2" t="n">
        <v>0</v>
      </c>
    </row>
    <row r="20">
      <c r="A20" s="2" t="n">
        <v>42.5</v>
      </c>
      <c r="B20" s="2" t="inlineStr">
        <is>
          <t>Unstable</t>
        </is>
      </c>
      <c r="C20" s="2" t="n">
        <v>726</v>
      </c>
      <c r="D20" s="2" t="n">
        <v>0</v>
      </c>
    </row>
    <row r="21">
      <c r="A21" s="2" t="n">
        <v>47.5</v>
      </c>
      <c r="B21" s="2" t="inlineStr">
        <is>
          <t>Unstable</t>
        </is>
      </c>
      <c r="C21" s="2" t="n">
        <v>800</v>
      </c>
      <c r="D2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</cols>
  <sheetData>
    <row r="1">
      <c r="A1" s="1" t="inlineStr">
        <is>
          <t>Analysis</t>
        </is>
      </c>
      <c r="B1" s="1" t="inlineStr">
        <is>
          <t>Group</t>
        </is>
      </c>
      <c r="C1" s="1" t="inlineStr">
        <is>
          <t>Effect (percentage points)</t>
        </is>
      </c>
      <c r="D1" s="1" t="inlineStr">
        <is>
          <t>95% lower</t>
        </is>
      </c>
      <c r="E1" s="1" t="inlineStr">
        <is>
          <t>95% upper</t>
        </is>
      </c>
    </row>
    <row r="2">
      <c r="A2" s="2" t="inlineStr">
        <is>
          <t>Primary (±25 meV/atom)</t>
        </is>
      </c>
      <c r="B2" s="2" t="inlineStr">
        <is>
          <t>primary</t>
        </is>
      </c>
      <c r="C2" s="2" t="n">
        <v>0.1559046620250614</v>
      </c>
      <c r="D2" s="2" t="n">
        <v>-0.06404304572423423</v>
      </c>
      <c r="E2" s="2" t="n">
        <v>0.375852369774357</v>
      </c>
    </row>
    <row r="3">
      <c r="A3" s="2" t="inlineStr">
        <is>
          <t>Window ±10 meV/atom</t>
        </is>
      </c>
      <c r="B3" s="2" t="inlineStr">
        <is>
          <t>window</t>
        </is>
      </c>
      <c r="C3" s="2" t="n">
        <v>0</v>
      </c>
      <c r="D3" s="2" t="n">
        <v>0</v>
      </c>
      <c r="E3" s="2" t="n">
        <v>0</v>
      </c>
    </row>
    <row r="4">
      <c r="A4" s="2" t="inlineStr">
        <is>
          <t>Window ±50 meV/atom</t>
        </is>
      </c>
      <c r="B4" s="2" t="inlineStr">
        <is>
          <t>window</t>
        </is>
      </c>
      <c r="C4" s="2" t="n">
        <v>0.08543761368336028</v>
      </c>
      <c r="D4" s="2" t="n">
        <v>-0.07024165528323008</v>
      </c>
      <c r="E4" s="2" t="n">
        <v>0.2411168826499507</v>
      </c>
    </row>
    <row r="5">
      <c r="A5" s="2" t="inlineStr">
        <is>
          <t>Placebo threshold at −15 meV/atom</t>
        </is>
      </c>
      <c r="B5" s="2" t="inlineStr">
        <is>
          <t>placebo</t>
        </is>
      </c>
      <c r="C5" s="2" t="n">
        <v>-0.09667054216484169</v>
      </c>
      <c r="D5" s="2" t="n">
        <v>-0.6889894721366452</v>
      </c>
      <c r="E5" s="2" t="n">
        <v>0.4956483878069618</v>
      </c>
    </row>
    <row r="6">
      <c r="A6" s="2" t="inlineStr">
        <is>
          <t>Placebo threshold at +15 meV/atom</t>
        </is>
      </c>
      <c r="B6" s="2" t="inlineStr">
        <is>
          <t>placebo</t>
        </is>
      </c>
      <c r="C6" s="2" t="n">
        <v>-0.05504183179216204</v>
      </c>
      <c r="D6" s="2" t="n">
        <v>-0.1629218397479113</v>
      </c>
      <c r="E6" s="2" t="n">
        <v>0.05283817616358726</v>
      </c>
    </row>
    <row r="7">
      <c r="A7" s="2" t="inlineStr">
        <is>
          <t>Smallest effect detectable with 80% power (approximate, normal theory), primary analysis</t>
        </is>
      </c>
      <c r="B7" s="2" t="inlineStr">
        <is>
          <t>reference</t>
        </is>
      </c>
      <c r="C7" s="2" t="n">
        <v>0.2419009416430135</v>
      </c>
      <c r="D7" s="2" t="n"/>
      <c r="E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45" customWidth="1" min="4" max="4"/>
    <col width="26" customWidth="1" min="5" max="5"/>
    <col width="15" customWidth="1" min="6" max="6"/>
    <col width="13" customWidth="1" min="7" max="7"/>
    <col width="20" customWidth="1" min="8" max="8"/>
    <col width="29" customWidth="1" min="9" max="9"/>
    <col width="45" customWidth="1" min="10" max="10"/>
    <col width="48" customWidth="1" min="11" max="11"/>
    <col width="12" customWidth="1" min="12" max="12"/>
  </cols>
  <sheetData>
    <row r="1">
      <c r="A1" s="1" t="inlineStr">
        <is>
          <t>Composition</t>
        </is>
      </c>
      <c r="B1" s="1" t="inlineStr">
        <is>
          <t>Release</t>
        </is>
      </c>
      <c r="C1" s="1" t="inlineStr">
        <is>
          <t>Among ten-year cohort realizations</t>
        </is>
      </c>
      <c r="D1" s="1" t="inlineStr">
        <is>
          <t>Threshold side (+/-25 meV/atom, five years)</t>
        </is>
      </c>
      <c r="E1" s="1" t="inlineStr">
        <is>
          <t>Earliest matching record</t>
        </is>
      </c>
      <c r="F1" s="1" t="inlineStr">
        <is>
          <t>Record source</t>
        </is>
      </c>
      <c r="G1" s="1" t="inlineStr">
        <is>
          <t>Record date</t>
        </is>
      </c>
      <c r="H1" s="1" t="inlineStr">
        <is>
          <t>Literature finding</t>
        </is>
      </c>
      <c r="I1" s="1" t="inlineStr">
        <is>
          <t>What the source establishes</t>
        </is>
      </c>
      <c r="J1" s="1" t="inlineStr">
        <is>
          <t>Classification under the outcome definition</t>
        </is>
      </c>
      <c r="K1" s="1" t="inlineStr">
        <is>
          <t>Classification if any earlier experimental report counts</t>
        </is>
      </c>
      <c r="L1" s="1" t="inlineStr">
        <is>
          <t>Evidence</t>
        </is>
      </c>
    </row>
    <row r="2">
      <c r="A2" s="2" t="inlineStr">
        <is>
          <t>MgSc2Ru</t>
        </is>
      </c>
      <c r="B2" s="2" t="inlineStr">
        <is>
          <t>OQMD v1.0 (2014)</t>
        </is>
      </c>
      <c r="C2" s="2" t="inlineStr">
        <is>
          <t>yes</t>
        </is>
      </c>
      <c r="D2" s="2" t="inlineStr">
        <is>
          <t>stable</t>
        </is>
      </c>
      <c r="E2" s="2" t="inlineStr">
        <is>
          <t>mpicsd-mp-1063566</t>
        </is>
      </c>
      <c r="F2" s="2" t="inlineStr">
        <is>
          <t>MP-ICSD</t>
        </is>
      </c>
      <c r="G2" s="2" t="inlineStr">
        <is>
          <t>2015-07-01</t>
        </is>
      </c>
      <c r="H2" s="2" t="inlineStr">
        <is>
          <t>earliest located report after release (2015)</t>
        </is>
      </c>
      <c r="I2" s="2" t="inlineStr">
        <is>
          <t>the 2015 crystal-structure report of Sc2RuMg, an i2 superstructure of the CuAu type, tetragonal rather than the predicted Heusler structure; published within a year of the release; no earlier report found</t>
        </is>
      </c>
      <c r="J2" s="2" t="inlineStr">
        <is>
          <t>unchanged (event)</t>
        </is>
      </c>
      <c r="K2" s="2" t="inlineStr">
        <is>
          <t>unchanged (event)</t>
        </is>
      </c>
      <c r="L2" s="2" t="inlineStr">
        <is>
          <t>Kersting, Rodewald and Poettgen, Z. Kristallogr. 230, 151-155 (2015), doi 10.1515/zkri-2014-1831</t>
        </is>
      </c>
    </row>
    <row r="3">
      <c r="A3" s="2" t="inlineStr">
        <is>
          <t>EuNbO3</t>
        </is>
      </c>
      <c r="B3" s="2" t="inlineStr">
        <is>
          <t>OQMD v1.0 (2014)</t>
        </is>
      </c>
      <c r="C3" s="2" t="inlineStr">
        <is>
          <t>yes</t>
        </is>
      </c>
      <c r="D3" s="2" t="inlineStr">
        <is>
          <t>stable</t>
        </is>
      </c>
      <c r="E3" s="2" t="inlineStr">
        <is>
          <t>cod-1561460</t>
        </is>
      </c>
      <c r="F3" s="2" t="inlineStr">
        <is>
          <t>COD</t>
        </is>
      </c>
      <c r="G3" s="2" t="inlineStr">
        <is>
          <t>2016-07-01</t>
        </is>
      </c>
      <c r="H3" s="2" t="inlineStr">
        <is>
          <t>earlier experimental report</t>
        </is>
      </c>
      <c r="I3" s="2" t="inlineStr">
        <is>
          <t>samples were synthesized and studied by photoemission by 1998; the source does not establish an earlier experimentally determined crystal structure</t>
        </is>
      </c>
      <c r="J3" s="2" t="inlineStr">
        <is>
          <t>unchanged (event)</t>
        </is>
      </c>
      <c r="K3" s="2" t="inlineStr">
        <is>
          <t>non-event</t>
        </is>
      </c>
      <c r="L3" s="2" t="inlineStr">
        <is>
          <t>Felser et al., Phys. Rev. B 57, 1510-1514 (1998)</t>
        </is>
      </c>
    </row>
    <row r="4">
      <c r="A4" s="2" t="inlineStr">
        <is>
          <t>AgAl</t>
        </is>
      </c>
      <c r="B4" s="2" t="inlineStr">
        <is>
          <t>OQMD v1.0 (2014)</t>
        </is>
      </c>
      <c r="C4" s="2" t="inlineStr">
        <is>
          <t>yes</t>
        </is>
      </c>
      <c r="D4" s="2" t="inlineStr">
        <is>
          <t>stable</t>
        </is>
      </c>
      <c r="E4" s="2" t="inlineStr">
        <is>
          <t>cod-1546733</t>
        </is>
      </c>
      <c r="F4" s="2" t="inlineStr">
        <is>
          <t>COD</t>
        </is>
      </c>
      <c r="G4" s="2" t="inlineStr">
        <is>
          <t>2017-07-01</t>
        </is>
      </c>
      <c r="H4" s="2" t="inlineStr">
        <is>
          <t>earliest located report after release</t>
        </is>
      </c>
      <c r="I4" s="2" t="inlineStr">
        <is>
          <t>the zeta precipitate phase, reported in 2017 from electron microscopy with a structural model supported by first-principles calculations; its layered R-3m structure differs from the predicted one; no earlier report found</t>
        </is>
      </c>
      <c r="J4" s="2" t="inlineStr">
        <is>
          <t>unchanged (event)</t>
        </is>
      </c>
      <c r="K4" s="2" t="inlineStr">
        <is>
          <t>unchanged (event)</t>
        </is>
      </c>
      <c r="L4" s="2" t="inlineStr">
        <is>
          <t>Zhang et al., Acta Mater. 132, 525-537 (2017)</t>
        </is>
      </c>
    </row>
    <row r="5">
      <c r="A5" s="2" t="inlineStr">
        <is>
          <t>Li2AgGe</t>
        </is>
      </c>
      <c r="B5" s="2" t="inlineStr">
        <is>
          <t>OQMD v1.0 (2014)</t>
        </is>
      </c>
      <c r="C5" s="2" t="inlineStr">
        <is>
          <t>no</t>
        </is>
      </c>
      <c r="D5" s="2" t="inlineStr">
        <is>
          <t>unstable</t>
        </is>
      </c>
      <c r="E5" s="2" t="inlineStr">
        <is>
          <t>cod-4341947</t>
        </is>
      </c>
      <c r="F5" s="2" t="inlineStr">
        <is>
          <t>COD</t>
        </is>
      </c>
      <c r="G5" s="2" t="inlineStr">
        <is>
          <t>2015-07-01</t>
        </is>
      </c>
      <c r="H5" s="2" t="inlineStr">
        <is>
          <t>earliest located report after release</t>
        </is>
      </c>
      <c r="I5" s="2" t="inlineStr">
        <is>
          <t>the 2015 structure determination is the earliest report located; no earlier report found</t>
        </is>
      </c>
      <c r="J5" s="2" t="inlineStr">
        <is>
          <t>unchanged (event)</t>
        </is>
      </c>
      <c r="K5" s="2" t="inlineStr">
        <is>
          <t>unchanged (event)</t>
        </is>
      </c>
      <c r="L5" s="2" t="inlineStr">
        <is>
          <t>Henze, Hlukhyy and Faessler, Inorg. Chem. 54, 1152-1158 (2015)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2026-10-29T13:31:13Z</dcterms:created>
  <dcterms:modified xmlns:dcterms="http://purl.org/dc/terms/" xmlns:xsi="http://www.w3.org/2001/XMLSchema-instance" xsi:type="dcterms:W3CDTF">2026-10-29T13:31:13Z</dcterms:modified>
</cp:coreProperties>
</file>